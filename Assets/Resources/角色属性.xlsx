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<sst xmlns="http://schemas.openxmlformats.org/spreadsheetml/2006/main" count="76" uniqueCount="52">
  <si>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角色基础设置</t>
  </si>
  <si>
    <t>体力设置</t>
  </si>
  <si>
    <t>炸弹设置</t>
  </si>
  <si>
    <t>角色类型</t>
  </si>
  <si>
    <t>角色描述</t>
  </si>
  <si>
    <t>最大生命值</t>
  </si>
  <si>
    <t>移动速度</t>
  </si>
  <si>
    <t>最大等级</t>
  </si>
  <si>
    <t>体力上限</t>
  </si>
  <si>
    <t>体力消耗速率</t>
  </si>
  <si>
    <t>体力恢复速率</t>
  </si>
  <si>
    <t>速度倍率</t>
  </si>
  <si>
    <t>最大炸弹数</t>
  </si>
  <si>
    <t>炸弹伤害</t>
  </si>
  <si>
    <t>炸弹爆炸范围</t>
  </si>
  <si>
    <t>爆炸时间</t>
  </si>
  <si>
    <t>放置炸弹冷却时间</t>
  </si>
  <si>
    <t>炸弹恢复时间</t>
  </si>
  <si>
    <t>playerType</t>
  </si>
  <si>
    <t>maxHp</t>
  </si>
  <si>
    <t>speed</t>
  </si>
  <si>
    <t>maxLevel</t>
  </si>
  <si>
    <t>maxStamina</t>
  </si>
  <si>
    <t>staminaDrainRate</t>
  </si>
  <si>
    <t>staminaRegenRate</t>
  </si>
  <si>
    <t>speedMultiplier</t>
  </si>
  <si>
    <t>maxBombCount</t>
  </si>
  <si>
    <t>bombDamage</t>
  </si>
  <si>
    <t>bombRadius</t>
  </si>
  <si>
    <t>bombFuseTime</t>
  </si>
  <si>
    <t>bombCooldown</t>
  </si>
  <si>
    <t>bombRecoveryTime</t>
  </si>
  <si>
    <t>平衡</t>
  </si>
  <si>
    <t>各个方面很平庸</t>
  </si>
  <si>
    <t>Balance</t>
  </si>
  <si>
    <t>速度</t>
  </si>
  <si>
    <t>就速度很快，偏技术型</t>
  </si>
  <si>
    <t>Speed</t>
  </si>
  <si>
    <t>炸弹卡车</t>
  </si>
  <si>
    <t>速度不够快，但是弹药多，血略厚</t>
  </si>
  <si>
    <t>BombTruck</t>
  </si>
  <si>
    <t>坦克</t>
  </si>
  <si>
    <t>血厚的一匹，但是速度不够快，不过胖子是有胖子的尊严的！！！</t>
  </si>
  <si>
    <t>Tank</t>
  </si>
  <si>
    <t>角色状态</t>
  </si>
  <si>
    <t>等级上限</t>
  </si>
  <si>
    <t>恢复状态</t>
  </si>
  <si>
    <t>加速速度</t>
  </si>
  <si>
    <t>体力恢复时间</t>
  </si>
  <si>
    <t>最大加速时间</t>
  </si>
  <si>
    <t>炸弹完全恢复时间</t>
  </si>
  <si>
    <t>放置/恢复比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</si>
</sst>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7" borderId="8">
      <alignment vertical="center"/>
    </xf>
    <xf numFmtId="0" fontId="10" fillId="8" borderId="9">
      <alignment vertical="center"/>
    </xf>
    <xf numFmtId="0" fontId="11" fillId="8" borderId="8">
      <alignment vertical="center"/>
    </xf>
    <xf numFmtId="0" fontId="12" fillId="9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5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76" fontId="0" fillId="5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I26"/>
  <sheetViews>
    <sheetView tabSelected="1" workbookViewId="0">
      <selection activeCell="P5" sqref="P5"/>
    </sheetView>
  </sheetViews>
  <sheetFormatPr defaultColWidth="9" defaultRowHeight="14"/>
  <cols>
    <col min="2" max="2" width="14" style="5" customWidth="1"/>
    <col min="3" max="3" width="11.8181818181818" style="5" customWidth="1"/>
    <col min="4" max="5" width="9.54545454545454" style="5" customWidth="1"/>
    <col min="6" max="6" width="12.4545454545455" style="5" customWidth="1"/>
    <col min="7" max="7" width="18.5454545454545" style="5" customWidth="1"/>
    <col min="8" max="8" width="15.2727272727273" style="5" customWidth="1"/>
    <col min="9" max="9" width="12.8181818181818" style="5"/>
    <col min="10" max="10" width="9" style="5"/>
    <col min="11" max="11" width="10.0909090909091" style="5" customWidth="1"/>
    <col min="12" max="295" width="9" style="5"/>
  </cols>
  <sheetData>
    <row r="1" spans="1:295">
      <c r="A1" s="6" t="s">
        <v>0</v>
      </c>
      <c r="B1" s="6"/>
      <c r="C1" s="6"/>
      <c r="D1" s="6"/>
      <c r="E1" s="6"/>
      <c r="F1" s="6"/>
      <c r="G1" s="7" t="s">
        <v>1</v>
      </c>
      <c r="H1" s="8"/>
      <c r="I1" s="8"/>
      <c r="J1" s="9"/>
      <c r="K1" s="6" t="s">
        <v>2</v>
      </c>
      <c r="L1" s="6"/>
      <c r="M1" s="6"/>
      <c r="N1" s="6"/>
      <c r="O1" s="6"/>
      <c r="P1" s="6"/>
      <c r="Q1" s="10"/>
      <c r="R1" s="10"/>
      <c r="S1" s="10"/>
    </row>
    <row r="2" ht="28" spans="1:295">
      <c r="A2" s="6" t="s">
        <v>3</v>
      </c>
      <c r="B2" s="11" t="s">
        <v>4</v>
      </c>
      <c r="C2" s="6" t="s">
        <v>3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10"/>
      <c r="R2" s="10"/>
      <c r="S2" s="10"/>
    </row>
    <row r="3" ht="28" spans="1:295">
      <c r="A3" s="6" t="s">
        <v>3</v>
      </c>
      <c r="B3" s="11"/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10"/>
      <c r="R3" s="10"/>
      <c r="S3" s="10"/>
    </row>
    <row r="4" s="1" customFormat="1" spans="1:295">
      <c r="A4" s="12" t="s">
        <v>32</v>
      </c>
      <c r="B4" s="13" t="s">
        <v>33</v>
      </c>
      <c r="C4" s="12" t="s">
        <v>34</v>
      </c>
      <c r="D4" s="12">
        <v>100</v>
      </c>
      <c r="E4" s="12">
        <v>5</v>
      </c>
      <c r="F4" s="12">
        <v>3</v>
      </c>
      <c r="G4" s="12">
        <v>100</v>
      </c>
      <c r="H4" s="12">
        <v>10</v>
      </c>
      <c r="I4" s="12">
        <v>8</v>
      </c>
      <c r="J4" s="12">
        <v>1.2</v>
      </c>
      <c r="K4" s="12">
        <v>10</v>
      </c>
      <c r="L4" s="12">
        <v>20</v>
      </c>
      <c r="M4" s="12">
        <v>3</v>
      </c>
      <c r="N4" s="12">
        <v>3</v>
      </c>
      <c r="O4" s="12">
        <v>0.8</v>
      </c>
      <c r="P4" s="12">
        <v>2</v>
      </c>
      <c r="Q4" s="14"/>
      <c r="R4" s="14"/>
      <c r="S4" s="14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</row>
    <row r="5" s="2" customFormat="1" spans="1:295">
      <c r="A5" s="16" t="s">
        <v>35</v>
      </c>
      <c r="B5" s="17" t="s">
        <v>36</v>
      </c>
      <c r="C5" s="16" t="s">
        <v>37</v>
      </c>
      <c r="D5" s="16">
        <v>80</v>
      </c>
      <c r="E5" s="16">
        <v>7</v>
      </c>
      <c r="F5" s="16">
        <v>4</v>
      </c>
      <c r="G5" s="16">
        <v>100</v>
      </c>
      <c r="H5" s="16">
        <v>20</v>
      </c>
      <c r="I5" s="16">
        <v>12</v>
      </c>
      <c r="J5" s="16">
        <v>1.3</v>
      </c>
      <c r="K5" s="16">
        <v>7</v>
      </c>
      <c r="L5" s="16">
        <v>15</v>
      </c>
      <c r="M5" s="16">
        <v>3</v>
      </c>
      <c r="N5" s="16">
        <v>2</v>
      </c>
      <c r="O5" s="16">
        <v>0.6</v>
      </c>
      <c r="P5" s="16">
        <v>1.2</v>
      </c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</row>
    <row r="6" s="3" customFormat="1" spans="1:295">
      <c r="A6" s="20" t="s">
        <v>38</v>
      </c>
      <c r="B6" s="21" t="s">
        <v>39</v>
      </c>
      <c r="C6" s="20" t="s">
        <v>40</v>
      </c>
      <c r="D6" s="20">
        <v>120</v>
      </c>
      <c r="E6" s="20">
        <v>4.5</v>
      </c>
      <c r="F6" s="20">
        <v>3</v>
      </c>
      <c r="G6" s="20">
        <v>100</v>
      </c>
      <c r="H6" s="20">
        <v>10</v>
      </c>
      <c r="I6" s="20">
        <v>8</v>
      </c>
      <c r="J6" s="20">
        <v>1.2</v>
      </c>
      <c r="K6" s="20">
        <v>15</v>
      </c>
      <c r="L6" s="20">
        <v>20</v>
      </c>
      <c r="M6" s="20">
        <v>3</v>
      </c>
      <c r="N6" s="20">
        <v>3</v>
      </c>
      <c r="O6" s="20">
        <v>0.7</v>
      </c>
      <c r="P6" s="20">
        <v>2</v>
      </c>
      <c r="Q6" s="22"/>
      <c r="R6" s="22"/>
      <c r="S6" s="22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</row>
    <row r="7" s="4" customFormat="1" spans="1:295">
      <c r="A7" s="24" t="s">
        <v>41</v>
      </c>
      <c r="B7" s="25" t="s">
        <v>42</v>
      </c>
      <c r="C7" s="24" t="s">
        <v>43</v>
      </c>
      <c r="D7" s="24">
        <v>200</v>
      </c>
      <c r="E7" s="24">
        <v>4</v>
      </c>
      <c r="F7" s="24">
        <v>3</v>
      </c>
      <c r="G7" s="24">
        <v>100</v>
      </c>
      <c r="H7" s="24">
        <v>25</v>
      </c>
      <c r="I7" s="24">
        <v>8</v>
      </c>
      <c r="J7" s="24">
        <v>1.6</v>
      </c>
      <c r="K7" s="24">
        <v>10</v>
      </c>
      <c r="L7" s="24">
        <v>20</v>
      </c>
      <c r="M7" s="24">
        <v>3</v>
      </c>
      <c r="N7" s="24">
        <v>3</v>
      </c>
      <c r="O7" s="24">
        <v>1</v>
      </c>
      <c r="P7" s="24">
        <v>2</v>
      </c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</row>
    <row r="8" spans="1:295">
      <c r="A8" s="2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295">
      <c r="A9" s="29" t="s">
        <v>44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30"/>
      <c r="Q9" s="31"/>
      <c r="R9" s="10"/>
      <c r="S9" s="10"/>
    </row>
    <row r="10" ht="28" spans="1:295">
      <c r="A10" s="29"/>
      <c r="B10" s="29" t="s">
        <v>3</v>
      </c>
      <c r="C10" s="29" t="s">
        <v>5</v>
      </c>
      <c r="D10" s="29" t="s">
        <v>6</v>
      </c>
      <c r="E10" s="29" t="s">
        <v>45</v>
      </c>
      <c r="F10" s="29" t="s">
        <v>8</v>
      </c>
      <c r="G10" s="29" t="s">
        <v>9</v>
      </c>
      <c r="H10" s="29" t="s">
        <v>10</v>
      </c>
      <c r="I10" s="29" t="s">
        <v>11</v>
      </c>
      <c r="J10" s="29" t="s">
        <v>12</v>
      </c>
      <c r="K10" s="29" t="s">
        <v>13</v>
      </c>
      <c r="L10" s="29" t="s">
        <v>14</v>
      </c>
      <c r="M10" s="29" t="s">
        <v>15</v>
      </c>
      <c r="N10" s="29" t="s">
        <v>16</v>
      </c>
      <c r="O10" s="29" t="s">
        <v>17</v>
      </c>
      <c r="P10" s="32"/>
      <c r="R10" s="10"/>
      <c r="S10" s="10"/>
    </row>
    <row r="11" s="1" customFormat="1" spans="1:295">
      <c r="A11" s="33" t="s">
        <v>32</v>
      </c>
      <c r="B11" s="34" t="str">
        <f>C4</f>
        <v>Balance</v>
      </c>
      <c r="C11" s="34">
        <f>D4</f>
        <v>100</v>
      </c>
      <c r="D11" s="34">
        <f>E4</f>
        <v>5</v>
      </c>
      <c r="E11" s="34">
        <f>F4</f>
        <v>3</v>
      </c>
      <c r="F11" s="34">
        <f>G4</f>
        <v>100</v>
      </c>
      <c r="G11" s="34">
        <f>H4</f>
        <v>10</v>
      </c>
      <c r="H11" s="34">
        <f>I4</f>
        <v>8</v>
      </c>
      <c r="I11" s="34">
        <f t="shared" ref="I11:N11" si="0">J4</f>
        <v>1.2</v>
      </c>
      <c r="J11" s="34">
        <f t="shared" si="0"/>
        <v>10</v>
      </c>
      <c r="K11" s="34">
        <f t="shared" si="0"/>
        <v>20</v>
      </c>
      <c r="L11" s="34">
        <f t="shared" si="0"/>
        <v>3</v>
      </c>
      <c r="M11" s="34">
        <f t="shared" si="0"/>
        <v>3</v>
      </c>
      <c r="N11" s="34">
        <f t="shared" si="0"/>
        <v>0.8</v>
      </c>
      <c r="O11" s="34">
        <f>P4</f>
        <v>2</v>
      </c>
      <c r="P11" s="35"/>
      <c r="R11" s="14"/>
      <c r="S11" s="14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</row>
    <row r="12" s="2" customFormat="1" spans="1:295">
      <c r="A12" s="36" t="s">
        <v>35</v>
      </c>
      <c r="B12" s="37" t="str">
        <f>C5</f>
        <v>Speed</v>
      </c>
      <c r="C12" s="37">
        <f>D5</f>
        <v>80</v>
      </c>
      <c r="D12" s="37">
        <f>E5</f>
        <v>7</v>
      </c>
      <c r="E12" s="37">
        <f>F5</f>
        <v>4</v>
      </c>
      <c r="F12" s="37">
        <f>G5</f>
        <v>100</v>
      </c>
      <c r="G12" s="37">
        <f>H5</f>
        <v>20</v>
      </c>
      <c r="H12" s="37">
        <f>I5</f>
        <v>12</v>
      </c>
      <c r="I12" s="37">
        <f>J5</f>
        <v>1.3</v>
      </c>
      <c r="J12" s="37">
        <f>K5</f>
        <v>7</v>
      </c>
      <c r="K12" s="37">
        <f>L5</f>
        <v>15</v>
      </c>
      <c r="L12" s="37">
        <f>M5</f>
        <v>3</v>
      </c>
      <c r="M12" s="37">
        <f>N5</f>
        <v>2</v>
      </c>
      <c r="N12" s="37">
        <f>O5</f>
        <v>0.6</v>
      </c>
      <c r="O12" s="37">
        <f>P5</f>
        <v>1.2</v>
      </c>
      <c r="P12" s="38"/>
      <c r="R12" s="18"/>
      <c r="S12" s="18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</row>
    <row r="13" s="3" customFormat="1" spans="1:295">
      <c r="A13" s="20" t="s">
        <v>38</v>
      </c>
      <c r="B13" s="39" t="str">
        <f>C6</f>
        <v>BombTruck</v>
      </c>
      <c r="C13" s="39">
        <f>D6</f>
        <v>120</v>
      </c>
      <c r="D13" s="39">
        <f>E6</f>
        <v>4.5</v>
      </c>
      <c r="E13" s="39">
        <f>F6</f>
        <v>3</v>
      </c>
      <c r="F13" s="39">
        <f>G6</f>
        <v>100</v>
      </c>
      <c r="G13" s="39">
        <f>H6</f>
        <v>10</v>
      </c>
      <c r="H13" s="39">
        <f>I6</f>
        <v>8</v>
      </c>
      <c r="I13" s="39">
        <f>J6</f>
        <v>1.2</v>
      </c>
      <c r="J13" s="39">
        <f>K6</f>
        <v>15</v>
      </c>
      <c r="K13" s="39">
        <f>L6</f>
        <v>20</v>
      </c>
      <c r="L13" s="39">
        <f>M6</f>
        <v>3</v>
      </c>
      <c r="M13" s="39">
        <f>N6</f>
        <v>3</v>
      </c>
      <c r="N13" s="39">
        <f>O6</f>
        <v>0.7</v>
      </c>
      <c r="O13" s="39">
        <f>P6</f>
        <v>2</v>
      </c>
      <c r="P13" s="40"/>
      <c r="R13" s="22"/>
      <c r="S13" s="22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</row>
    <row r="14" s="4" customFormat="1" spans="1:295">
      <c r="A14" s="41" t="s">
        <v>41</v>
      </c>
      <c r="B14" s="42" t="str">
        <f>C7</f>
        <v>Tank</v>
      </c>
      <c r="C14" s="42">
        <f>D7</f>
        <v>200</v>
      </c>
      <c r="D14" s="42">
        <f>E7</f>
        <v>4</v>
      </c>
      <c r="E14" s="42">
        <f>F7</f>
        <v>3</v>
      </c>
      <c r="F14" s="42">
        <f>G7</f>
        <v>100</v>
      </c>
      <c r="G14" s="42">
        <f>H7</f>
        <v>25</v>
      </c>
      <c r="H14" s="42">
        <f>I7</f>
        <v>8</v>
      </c>
      <c r="I14" s="42">
        <f>J7</f>
        <v>1.6</v>
      </c>
      <c r="J14" s="42">
        <f>K7</f>
        <v>10</v>
      </c>
      <c r="K14" s="42">
        <f>L7</f>
        <v>20</v>
      </c>
      <c r="L14" s="42">
        <f>M7</f>
        <v>3</v>
      </c>
      <c r="M14" s="42">
        <f>N7</f>
        <v>3</v>
      </c>
      <c r="N14" s="42">
        <f>O7</f>
        <v>1</v>
      </c>
      <c r="O14" s="42">
        <f>P7</f>
        <v>2</v>
      </c>
      <c r="P14" s="43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</row>
    <row r="15" spans="1:295">
      <c r="A15" s="28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295">
      <c r="A16" s="6" t="s">
        <v>46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0"/>
      <c r="S16" s="10"/>
    </row>
    <row r="17" ht="28" spans="1:295">
      <c r="A17" s="6"/>
      <c r="B17" s="6" t="s">
        <v>3</v>
      </c>
      <c r="C17" s="11" t="s">
        <v>47</v>
      </c>
      <c r="D17" s="6" t="s">
        <v>48</v>
      </c>
      <c r="E17" s="6" t="s">
        <v>49</v>
      </c>
      <c r="F17" s="6" t="s">
        <v>50</v>
      </c>
      <c r="G17" s="6" t="s">
        <v>51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10"/>
      <c r="S17" s="10"/>
    </row>
    <row r="18" s="1" customFormat="1" spans="1:295">
      <c r="A18" s="44" t="s">
        <v>32</v>
      </c>
      <c r="B18" s="12" t="str">
        <f>B11</f>
        <v>Balance</v>
      </c>
      <c r="C18" s="45">
        <f>E4*J4</f>
        <v>6</v>
      </c>
      <c r="D18" s="45">
        <f>F11/H11</f>
        <v>12.5</v>
      </c>
      <c r="E18" s="13">
        <f>F11/G11</f>
        <v>10</v>
      </c>
      <c r="F18" s="45">
        <f>J11/O11</f>
        <v>5</v>
      </c>
      <c r="G18" s="45">
        <f>N11/O11</f>
        <v>0.4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4"/>
      <c r="S18" s="14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</row>
    <row r="19" s="2" customFormat="1" spans="1:295">
      <c r="A19" s="46" t="s">
        <v>35</v>
      </c>
      <c r="B19" s="16" t="str">
        <f>B12</f>
        <v>Speed</v>
      </c>
      <c r="C19" s="47">
        <f>E5*J5</f>
        <v>9.1</v>
      </c>
      <c r="D19" s="47">
        <f>F12/H12</f>
        <v>8.33333333333333</v>
      </c>
      <c r="E19" s="17">
        <f>F12/G12</f>
        <v>5</v>
      </c>
      <c r="F19" s="47">
        <f>J12/O12</f>
        <v>5.83333333333333</v>
      </c>
      <c r="G19" s="47">
        <f>N12/O12</f>
        <v>0.5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8"/>
      <c r="S19" s="18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</row>
    <row r="20" s="3" customFormat="1" spans="1:295">
      <c r="A20" s="20" t="s">
        <v>38</v>
      </c>
      <c r="B20" s="20" t="str">
        <f>B13</f>
        <v>BombTruck</v>
      </c>
      <c r="C20" s="48">
        <f>E6*J6</f>
        <v>5.4</v>
      </c>
      <c r="D20" s="48">
        <f>F13/H13</f>
        <v>12.5</v>
      </c>
      <c r="E20" s="21">
        <f>F13/G13</f>
        <v>10</v>
      </c>
      <c r="F20" s="48">
        <f>J13/O13</f>
        <v>7.5</v>
      </c>
      <c r="G20" s="48">
        <f>N13/O13</f>
        <v>0.35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2"/>
      <c r="S20" s="22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</row>
    <row r="21" s="4" customFormat="1" spans="1:295">
      <c r="A21" s="49" t="s">
        <v>41</v>
      </c>
      <c r="B21" s="24" t="str">
        <f>B14</f>
        <v>Tank</v>
      </c>
      <c r="C21" s="50">
        <f>E7*J7</f>
        <v>6.4</v>
      </c>
      <c r="D21" s="50">
        <f>F14/H14</f>
        <v>12.5</v>
      </c>
      <c r="E21" s="25">
        <f>F14/G14</f>
        <v>4</v>
      </c>
      <c r="F21" s="50">
        <f>J14/O14</f>
        <v>5</v>
      </c>
      <c r="G21" s="50">
        <f>N14/O14</f>
        <v>0.5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</row>
    <row r="22" spans="1:295">
      <c r="A22" s="28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295">
      <c r="A23" s="28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295">
      <c r="A24" s="28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295">
      <c r="A25" s="28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295">
      <c r="A26" s="28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</sheetData>
  <mergeCells count="6">
    <mergeCell ref="A1:F1"/>
    <mergeCell ref="G1:J1"/>
    <mergeCell ref="K1:P1"/>
    <mergeCell ref="A9:O9"/>
    <mergeCell ref="A16:Q16"/>
    <mergeCell ref="B2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顾秋炜</dc:creator>
  <cp:lastModifiedBy>Giant</cp:lastModifiedBy>
  <dcterms:created xsi:type="dcterms:W3CDTF">2023-05-12T11:15:00Z</dcterms:created>
  <dcterms:modified xsi:type="dcterms:W3CDTF">2026-01-06T13:20:27Z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B7DCBA37EEE84E6B809F5078E87302B9_12</vt:lpwstr>
  </property>
  <property fmtid="{D5CDD505-2E9C-101B-9397-08002B2CF9AE}" pid="4" name="CalculationRule">
    <vt:i4>0</vt:i4>
  </property>
</Properties>
</file>